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13_ncr:1_{006A08C9-9AB5-412A-B222-6641241A54E5}" xr6:coauthVersionLast="36" xr6:coauthVersionMax="47" xr10:uidLastSave="{00000000-0000-0000-0000-000000000000}"/>
  <bookViews>
    <workbookView xWindow="0" yWindow="0" windowWidth="17970" windowHeight="5175" tabRatio="724" activeTab="3" xr2:uid="{00000000-000D-0000-FFFF-FFFF00000000}"/>
  </bookViews>
  <sheets>
    <sheet name="Indice" sheetId="1" r:id="rId1"/>
    <sheet name="1_Gastos_Basico" sheetId="2" r:id="rId2"/>
    <sheet name="7_Si_Anidado_Contar" sheetId="8" r:id="rId3"/>
    <sheet name="9_Funciones_Financieras" sheetId="10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0" l="1"/>
  <c r="F6" i="10"/>
  <c r="F7" i="10"/>
  <c r="F8" i="10"/>
  <c r="F9" i="10"/>
  <c r="F5" i="10"/>
  <c r="E6" i="10"/>
  <c r="E7" i="10"/>
  <c r="E8" i="10"/>
  <c r="E9" i="10"/>
  <c r="E5" i="10"/>
  <c r="D5" i="10"/>
  <c r="D6" i="10"/>
  <c r="D7" i="10"/>
  <c r="D8" i="10"/>
  <c r="D9" i="10"/>
  <c r="B22" i="8"/>
  <c r="B21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5" i="8"/>
  <c r="B37" i="2"/>
  <c r="B36" i="2"/>
  <c r="B35" i="2"/>
</calcChain>
</file>

<file path=xl/sharedStrings.xml><?xml version="1.0" encoding="utf-8"?>
<sst xmlns="http://schemas.openxmlformats.org/spreadsheetml/2006/main" count="136" uniqueCount="92">
  <si>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</si>
  <si>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</si>
  <si>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</si>
  <si>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</si>
  <si>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</si>
  <si>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</si>
  <si>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</si>
  <si>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</si>
  <si>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</si>
  <si>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</si>
  <si>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</si>
  <si>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</si>
  <si>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</si>
  <si>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</si>
  <si>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</si>
  <si>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</si>
  <si>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</si>
  <si>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</si>
  <si>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</si>
  <si>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</si>
  <si>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</si>
  <si>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</si>
  <si>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</si>
  <si>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</si>
  <si>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</si>
  <si>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</si>
  <si>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</si>
  <si>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</si>
  <si>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</si>
  <si>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</si>
  <si>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</si>
  <si>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</si>
  <si>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</si>
  <si>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</si>
  <si>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</si>
  <si>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</si>
  <si>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</si>
  <si>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</si>
  <si>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</si>
  <si>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</si>
  <si>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</si>
  <si>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</si>
  <si>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</si>
  <si>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</si>
  <si>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</si>
  <si>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</si>
  <si>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</si>
  <si>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</si>
  <si>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</si>
  <si>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</si>
  <si>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</si>
  <si>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Producto</t>
  </si>
  <si>
    <t>Laptop</t>
  </si>
  <si>
    <t>Monitor</t>
  </si>
  <si>
    <t>Teclado</t>
  </si>
  <si>
    <t>Mouse</t>
  </si>
  <si>
    <t>Impresora</t>
  </si>
  <si>
    <t>Ejercicio 7 — SI anidado y CONTAR.SI</t>
  </si>
  <si>
    <t>Consigna: en la columna C (amarilla) asigna el concepto con SI anidado: 'Excelente' si Nota&gt;=90, 'Bueno' si Nota&gt;=70, 'Regular' si Nota&gt;=50, y 'Insuficiente' en el resto. Abajo, calcula el total de aprobados (Nota&gt;=50) con CONTAR.SI y el porcentaje de aprobados con REDONDEAR.</t>
  </si>
  <si>
    <t>Estudiante</t>
  </si>
  <si>
    <t>Nota</t>
  </si>
  <si>
    <t>Concepto</t>
  </si>
  <si>
    <t>Tomás</t>
  </si>
  <si>
    <t>Valeria</t>
  </si>
  <si>
    <t>Simón</t>
  </si>
  <si>
    <t>Renata</t>
  </si>
  <si>
    <t>Emilio</t>
  </si>
  <si>
    <t>Antonia</t>
  </si>
  <si>
    <t>David</t>
  </si>
  <si>
    <t>Manuela</t>
  </si>
  <si>
    <t>Samuel</t>
  </si>
  <si>
    <t>Salomé</t>
  </si>
  <si>
    <t>Martín</t>
  </si>
  <si>
    <t>Luciana</t>
  </si>
  <si>
    <t>Gabriel</t>
  </si>
  <si>
    <t>Emma</t>
  </si>
  <si>
    <t>Joaquín</t>
  </si>
  <si>
    <t>Aprobados (Nota&gt;=50)</t>
  </si>
  <si>
    <t>% de aprobados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</si>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</sst>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0" fontId="4" fillId="3" borderId="1" xfId="0" applyFont="1" applyFill="1" applyBorder="1"/>
    <xf numFmtId="9" fontId="0" fillId="3" borderId="1" xfId="0" applyNumberFormat="1" applyFill="1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zoomScale="80" zoomScaleNormal="80" workbookViewId="0">
      <selection activeCell="G33" sqref="G33"/>
    </sheetView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>
        <f>SUM(D5:D34)</f>
        <v>6184660</v>
      </c>
    </row>
    <row r="36" spans="1:4" x14ac:dyDescent="0.25">
      <c r="A36" s="5" t="s">
        <v>49</v>
      </c>
      <c r="B36" s="8">
        <f>AVERAGE(D5:D34)</f>
        <v>206155.33333333334</v>
      </c>
    </row>
    <row r="37" spans="1:4" x14ac:dyDescent="0.25">
      <c r="A37" s="5" t="s">
        <v>50</v>
      </c>
      <c r="B37" s="8">
        <f>MAX(D5:D34)</f>
        <v>448508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zoomScaleNormal="100" workbookViewId="0">
      <selection activeCell="J14" sqref="J14"/>
    </sheetView>
  </sheetViews>
  <sheetFormatPr baseColWidth="10" defaultColWidth="8.7109375" defaultRowHeight="15" x14ac:dyDescent="0.25"/>
  <cols>
    <col min="1" max="1" width="20" customWidth="1"/>
    <col min="2" max="2" width="10" customWidth="1"/>
    <col min="3" max="3" width="16" customWidth="1"/>
  </cols>
  <sheetData>
    <row r="1" spans="1:3" ht="18" x14ac:dyDescent="0.25">
      <c r="A1" s="1" t="s">
        <v>57</v>
      </c>
    </row>
    <row r="2" spans="1:3" x14ac:dyDescent="0.25">
      <c r="A2" s="2" t="s">
        <v>58</v>
      </c>
    </row>
    <row r="4" spans="1:3" x14ac:dyDescent="0.25">
      <c r="A4" s="3" t="s">
        <v>59</v>
      </c>
      <c r="B4" s="3" t="s">
        <v>60</v>
      </c>
      <c r="C4" s="3" t="s">
        <v>61</v>
      </c>
    </row>
    <row r="5" spans="1:3" x14ac:dyDescent="0.25">
      <c r="A5" s="4" t="s">
        <v>62</v>
      </c>
      <c r="B5" s="4">
        <v>66</v>
      </c>
      <c r="C5" s="10" t="str">
        <f>IF(B5&gt;=90,"execelente",IF(B5&gt;=70,"bueno",IF(B5&gt;=50,"regular","insuficiente")))</f>
        <v>regular</v>
      </c>
    </row>
    <row r="6" spans="1:3" x14ac:dyDescent="0.25">
      <c r="A6" s="4" t="s">
        <v>63</v>
      </c>
      <c r="B6" s="4">
        <v>30</v>
      </c>
      <c r="C6" s="10" t="str">
        <f t="shared" ref="C6:C19" si="0">IF(B6&gt;=90,"execelente",IF(B6&gt;=70,"bueno",IF(B6&gt;=50,"regular","insuficiente")))</f>
        <v>insuficiente</v>
      </c>
    </row>
    <row r="7" spans="1:3" x14ac:dyDescent="0.25">
      <c r="A7" s="4" t="s">
        <v>64</v>
      </c>
      <c r="B7" s="4">
        <v>48</v>
      </c>
      <c r="C7" s="10" t="str">
        <f t="shared" si="0"/>
        <v>insuficiente</v>
      </c>
    </row>
    <row r="8" spans="1:3" x14ac:dyDescent="0.25">
      <c r="A8" s="4" t="s">
        <v>65</v>
      </c>
      <c r="B8" s="4">
        <v>83</v>
      </c>
      <c r="C8" s="10" t="str">
        <f t="shared" si="0"/>
        <v>bueno</v>
      </c>
    </row>
    <row r="9" spans="1:3" x14ac:dyDescent="0.25">
      <c r="A9" s="4" t="s">
        <v>66</v>
      </c>
      <c r="B9" s="4">
        <v>98</v>
      </c>
      <c r="C9" s="10" t="str">
        <f t="shared" si="0"/>
        <v>execelente</v>
      </c>
    </row>
    <row r="10" spans="1:3" x14ac:dyDescent="0.25">
      <c r="A10" s="4" t="s">
        <v>67</v>
      </c>
      <c r="B10" s="4">
        <v>77</v>
      </c>
      <c r="C10" s="10" t="str">
        <f t="shared" si="0"/>
        <v>bueno</v>
      </c>
    </row>
    <row r="11" spans="1:3" x14ac:dyDescent="0.25">
      <c r="A11" s="4" t="s">
        <v>68</v>
      </c>
      <c r="B11" s="4">
        <v>70</v>
      </c>
      <c r="C11" s="10" t="str">
        <f t="shared" si="0"/>
        <v>bueno</v>
      </c>
    </row>
    <row r="12" spans="1:3" x14ac:dyDescent="0.25">
      <c r="A12" s="4" t="s">
        <v>69</v>
      </c>
      <c r="B12" s="4">
        <v>46</v>
      </c>
      <c r="C12" s="10" t="str">
        <f t="shared" si="0"/>
        <v>insuficiente</v>
      </c>
    </row>
    <row r="13" spans="1:3" x14ac:dyDescent="0.25">
      <c r="A13" s="4" t="s">
        <v>70</v>
      </c>
      <c r="B13" s="4">
        <v>95</v>
      </c>
      <c r="C13" s="10" t="str">
        <f t="shared" si="0"/>
        <v>execelente</v>
      </c>
    </row>
    <row r="14" spans="1:3" x14ac:dyDescent="0.25">
      <c r="A14" s="4" t="s">
        <v>71</v>
      </c>
      <c r="B14" s="4">
        <v>36</v>
      </c>
      <c r="C14" s="10" t="str">
        <f t="shared" si="0"/>
        <v>insuficiente</v>
      </c>
    </row>
    <row r="15" spans="1:3" x14ac:dyDescent="0.25">
      <c r="A15" s="4" t="s">
        <v>72</v>
      </c>
      <c r="B15" s="4">
        <v>88</v>
      </c>
      <c r="C15" s="10" t="str">
        <f t="shared" si="0"/>
        <v>bueno</v>
      </c>
    </row>
    <row r="16" spans="1:3" x14ac:dyDescent="0.25">
      <c r="A16" s="4" t="s">
        <v>73</v>
      </c>
      <c r="B16" s="4">
        <v>80</v>
      </c>
      <c r="C16" s="10" t="str">
        <f t="shared" si="0"/>
        <v>bueno</v>
      </c>
    </row>
    <row r="17" spans="1:3" x14ac:dyDescent="0.25">
      <c r="A17" s="4" t="s">
        <v>74</v>
      </c>
      <c r="B17" s="4">
        <v>80</v>
      </c>
      <c r="C17" s="10" t="str">
        <f t="shared" si="0"/>
        <v>bueno</v>
      </c>
    </row>
    <row r="18" spans="1:3" x14ac:dyDescent="0.25">
      <c r="A18" s="4" t="s">
        <v>75</v>
      </c>
      <c r="B18" s="4">
        <v>81</v>
      </c>
      <c r="C18" s="10" t="str">
        <f t="shared" si="0"/>
        <v>bueno</v>
      </c>
    </row>
    <row r="19" spans="1:3" x14ac:dyDescent="0.25">
      <c r="A19" s="4" t="s">
        <v>76</v>
      </c>
      <c r="B19" s="4">
        <v>80</v>
      </c>
      <c r="C19" s="10" t="str">
        <f t="shared" si="0"/>
        <v>bueno</v>
      </c>
    </row>
    <row r="21" spans="1:3" x14ac:dyDescent="0.25">
      <c r="A21" s="5" t="s">
        <v>77</v>
      </c>
      <c r="B21" s="9">
        <f>COUNTIF(B5:B19,"&gt;=50")</f>
        <v>11</v>
      </c>
    </row>
    <row r="22" spans="1:3" x14ac:dyDescent="0.25">
      <c r="A22" s="5" t="s">
        <v>78</v>
      </c>
      <c r="B22" s="11">
        <f>B21/15</f>
        <v>0.73333333333333328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6"/>
  <sheetViews>
    <sheetView tabSelected="1" zoomScaleNormal="100" workbookViewId="0">
      <selection activeCell="B17" sqref="B17"/>
    </sheetView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</cols>
  <sheetData>
    <row r="1" spans="1:6" ht="18" x14ac:dyDescent="0.25">
      <c r="A1" s="1" t="s">
        <v>79</v>
      </c>
    </row>
    <row r="2" spans="1:6" x14ac:dyDescent="0.25">
      <c r="A2" s="2" t="s">
        <v>80</v>
      </c>
    </row>
    <row r="4" spans="1:6" x14ac:dyDescent="0.25">
      <c r="A4" s="3" t="s">
        <v>51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</row>
    <row r="5" spans="1:6" x14ac:dyDescent="0.25">
      <c r="A5" s="4" t="s">
        <v>52</v>
      </c>
      <c r="B5" s="7">
        <v>3200000</v>
      </c>
      <c r="C5" s="12">
        <v>0.1</v>
      </c>
      <c r="D5" s="8">
        <f>B5-(B5*C5)</f>
        <v>2880000</v>
      </c>
      <c r="E5" s="8">
        <f>D5*19%</f>
        <v>547200</v>
      </c>
      <c r="F5" s="8">
        <f>D5+E5</f>
        <v>3427200</v>
      </c>
    </row>
    <row r="6" spans="1:6" x14ac:dyDescent="0.25">
      <c r="A6" s="4" t="s">
        <v>53</v>
      </c>
      <c r="B6" s="7">
        <v>780000</v>
      </c>
      <c r="C6" s="12">
        <v>0.05</v>
      </c>
      <c r="D6" s="8">
        <f t="shared" ref="D6:D9" si="0">B6-(B6*C6)</f>
        <v>741000</v>
      </c>
      <c r="E6" s="8">
        <f t="shared" ref="E6:E9" si="1">D6*19%</f>
        <v>140790</v>
      </c>
      <c r="F6" s="8">
        <f t="shared" ref="F6:F9" si="2">D6+E6</f>
        <v>881790</v>
      </c>
    </row>
    <row r="7" spans="1:6" x14ac:dyDescent="0.25">
      <c r="A7" s="4" t="s">
        <v>54</v>
      </c>
      <c r="B7" s="7">
        <v>95000</v>
      </c>
      <c r="C7" s="12">
        <v>0</v>
      </c>
      <c r="D7" s="8">
        <f t="shared" si="0"/>
        <v>95000</v>
      </c>
      <c r="E7" s="8">
        <f t="shared" si="1"/>
        <v>18050</v>
      </c>
      <c r="F7" s="8">
        <f t="shared" si="2"/>
        <v>113050</v>
      </c>
    </row>
    <row r="8" spans="1:6" x14ac:dyDescent="0.25">
      <c r="A8" s="4" t="s">
        <v>55</v>
      </c>
      <c r="B8" s="7">
        <v>45000</v>
      </c>
      <c r="C8" s="12">
        <v>0.15</v>
      </c>
      <c r="D8" s="8">
        <f t="shared" si="0"/>
        <v>38250</v>
      </c>
      <c r="E8" s="8">
        <f t="shared" si="1"/>
        <v>7267.5</v>
      </c>
      <c r="F8" s="8">
        <f t="shared" si="2"/>
        <v>45517.5</v>
      </c>
    </row>
    <row r="9" spans="1:6" x14ac:dyDescent="0.25">
      <c r="A9" s="4" t="s">
        <v>56</v>
      </c>
      <c r="B9" s="7">
        <v>650000</v>
      </c>
      <c r="C9" s="12">
        <v>0.08</v>
      </c>
      <c r="D9" s="8">
        <f t="shared" si="0"/>
        <v>598000</v>
      </c>
      <c r="E9" s="8">
        <f t="shared" si="1"/>
        <v>113620</v>
      </c>
      <c r="F9" s="8">
        <f t="shared" si="2"/>
        <v>711620</v>
      </c>
    </row>
    <row r="12" spans="1:6" x14ac:dyDescent="0.25">
      <c r="A12" s="5" t="s">
        <v>86</v>
      </c>
      <c r="D12" s="2" t="s">
        <v>87</v>
      </c>
    </row>
    <row r="13" spans="1:6" x14ac:dyDescent="0.25">
      <c r="A13" t="s">
        <v>88</v>
      </c>
      <c r="B13" s="13">
        <v>15000000</v>
      </c>
    </row>
    <row r="14" spans="1:6" x14ac:dyDescent="0.25">
      <c r="A14" t="s">
        <v>89</v>
      </c>
      <c r="B14" s="14">
        <v>1.7999999999999999E-2</v>
      </c>
    </row>
    <row r="15" spans="1:6" x14ac:dyDescent="0.25">
      <c r="A15" t="s">
        <v>90</v>
      </c>
      <c r="B15">
        <v>24</v>
      </c>
    </row>
    <row r="16" spans="1:6" x14ac:dyDescent="0.25">
      <c r="A16" s="5" t="s">
        <v>91</v>
      </c>
      <c r="B16" s="8">
        <f>PMT(B14,B15,-B13)</f>
        <v>775212.52522671269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</vt:lpstr>
      <vt:lpstr>1_Gastos_Basico</vt:lpstr>
      <vt:lpstr>7_Si_Anidado_Contar</vt:lpstr>
      <vt:lpstr>9_Funciones_Financieras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2026-09-19T15:23:24Z</dcterms:modified>
  <dc:language>en-US</dc:language>
</cp:coreProperties>
</file>